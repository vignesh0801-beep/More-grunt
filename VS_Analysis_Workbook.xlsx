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es" sheetId="1" state="visible" r:id="rId3"/>
    <sheet name="PnL FY-1" sheetId="2" state="visible" r:id="rId4"/>
    <sheet name="Ambition" sheetId="3" state="visible" r:id="rId5"/>
    <sheet name="Online" sheetId="4" state="visible" r:id="rId6"/>
    <sheet name="Assumptions and caveats" sheetId="5" state="visible" r:id="rId7"/>
    <sheet name="Data reques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<sst xmlns="http://schemas.openxmlformats.org/spreadsheetml/2006/main" count="173" uniqueCount="142">
  <si>
    <t xml:space="preserve">Store sales and value per sale</t>
  </si>
  <si>
    <t xml:space="preserve">Blue = typed from the data pack (currency assumed GBP, millions; "number of sales" assumed transactions, millions). Black = formula.</t>
  </si>
  <si>
    <t xml:space="preserve">Store</t>
  </si>
  <si>
    <t xml:space="preserve">Sales FY-4</t>
  </si>
  <si>
    <t xml:space="preserve">Sales FY-3</t>
  </si>
  <si>
    <t xml:space="preserve">Sales FY-2</t>
  </si>
  <si>
    <t xml:space="preserve">Sales FY-1</t>
  </si>
  <si>
    <t xml:space="preserve">Sales change FY-2 to FY-1</t>
  </si>
  <si>
    <t xml:space="preserve">No. of sales FY-2</t>
  </si>
  <si>
    <t xml:space="preserve">No. of sales FY-1</t>
  </si>
  <si>
    <t xml:space="preserve">No. of sales change</t>
  </si>
  <si>
    <t xml:space="preserve">Value per sale FY-2 (GBP)</t>
  </si>
  <si>
    <t xml:space="preserve">Value per sale FY-1 (GBP)</t>
  </si>
  <si>
    <t xml:space="preserve">Value per sale change</t>
  </si>
  <si>
    <t xml:space="preserve">London</t>
  </si>
  <si>
    <t xml:space="preserve">Birmingham</t>
  </si>
  <si>
    <t xml:space="preserve">Edinburgh</t>
  </si>
  <si>
    <t xml:space="preserve">Orlando</t>
  </si>
  <si>
    <t xml:space="preserve">All stores</t>
  </si>
  <si>
    <t xml:space="preserve">Reading: sales count is up in every store, but value per sale fell in London, Edinburgh and Orlando; only Birmingham rose.</t>
  </si>
  <si>
    <t xml:space="preserve">Caveat: the "UK Profit" figures in the sales sheet do not reconcile to the P&amp;L, so they are not used here.</t>
  </si>
  <si>
    <t xml:space="preserve">FY-1 P&amp;L by channel (GBP)</t>
  </si>
  <si>
    <t xml:space="preserve">Blue = typed from the P&amp;L image. Ratios are formulas. Check column should be zero.</t>
  </si>
  <si>
    <t xml:space="preserve">Channel</t>
  </si>
  <si>
    <t xml:space="preserve">Revenue</t>
  </si>
  <si>
    <t xml:space="preserve">Cost of sales</t>
  </si>
  <si>
    <t xml:space="preserve">Gross profit</t>
  </si>
  <si>
    <t xml:space="preserve">Logistics</t>
  </si>
  <si>
    <t xml:space="preserve">Admin</t>
  </si>
  <si>
    <t xml:space="preserve">EBIT (as reported)</t>
  </si>
  <si>
    <t xml:space="preserve">Gross margin</t>
  </si>
  <si>
    <t xml:space="preserve">Logistics % revenue</t>
  </si>
  <si>
    <t xml:space="preserve">Admin % revenue</t>
  </si>
  <si>
    <t xml:space="preserve">EBIT margin</t>
  </si>
  <si>
    <t xml:space="preserve">Check: GP-Log-Admin-EBIT</t>
  </si>
  <si>
    <t xml:space="preserve">Online</t>
  </si>
  <si>
    <t xml:space="preserve">Group</t>
  </si>
  <si>
    <t xml:space="preserve">Reported group revenue</t>
  </si>
  <si>
    <t xml:space="preserve">Difference to sum of channels</t>
  </si>
  <si>
    <t xml:space="preserve">Reported group EBIT</t>
  </si>
  <si>
    <t xml:space="preserve">Reading: Edinburgh logistics are ~20.6% of revenue vs ~17.5% for the group; Orlando EBIT margin may reflect cost allocation.</t>
  </si>
  <si>
    <t xml:space="preserve">Ambition arithmetic (not a forecast)</t>
  </si>
  <si>
    <t xml:space="preserve">Blue = inputs. The 10% EBIT target and GBP 2bn revenue come from the client brief.</t>
  </si>
  <si>
    <t xml:space="preserve">Group revenue FY-1 (GBP m)</t>
  </si>
  <si>
    <t xml:space="preserve">Group EBIT FY-1 (GBP m)</t>
  </si>
  <si>
    <t xml:space="preserve">Current EBIT margin</t>
  </si>
  <si>
    <t xml:space="preserve">Target EBIT margin</t>
  </si>
  <si>
    <t xml:space="preserve">EBIT at target margin on current revenue (GBP m)</t>
  </si>
  <si>
    <t xml:space="preserve">EBIT gap (GBP m)</t>
  </si>
  <si>
    <t xml:space="preserve">Value of 1 point of margin (GBP m)</t>
  </si>
  <si>
    <t xml:space="preserve">Revenue ambition (GBP m)</t>
  </si>
  <si>
    <t xml:space="preserve">Years to ambition</t>
  </si>
  <si>
    <t xml:space="preserve">Assumption: five-year horizon is ours, not the client's.</t>
  </si>
  <si>
    <t xml:space="preserve">Growth required</t>
  </si>
  <si>
    <t xml:space="preserve">Implied annual growth (CAGR)</t>
  </si>
  <si>
    <t xml:space="preserve">Edinburgh logistics % revenue</t>
  </si>
  <si>
    <t xml:space="preserve">Group logistics % revenue</t>
  </si>
  <si>
    <t xml:space="preserve">Saving if Edinburgh hit group logistics ratio (GBP m)</t>
  </si>
  <si>
    <t xml:space="preserve">Website visits (data pack)</t>
  </si>
  <si>
    <t xml:space="preserve">Blue = typed from the website data images. Page figures are views, keyword figures are visits: do not mix.</t>
  </si>
  <si>
    <t xml:space="preserve">Traffic source</t>
  </si>
  <si>
    <t xml:space="preserve">Visits</t>
  </si>
  <si>
    <t xml:space="preserve">Share</t>
  </si>
  <si>
    <t xml:space="preserve">Source 1 (largest)</t>
  </si>
  <si>
    <t xml:space="preserve">Source 2</t>
  </si>
  <si>
    <t xml:space="preserve">Source 3</t>
  </si>
  <si>
    <t xml:space="preserve">Source 4</t>
  </si>
  <si>
    <t xml:space="preserve">Total</t>
  </si>
  <si>
    <t xml:space="preserve">Note: source names should be checked against the original image before quoting.</t>
  </si>
  <si>
    <t xml:space="preserve">Country</t>
  </si>
  <si>
    <t xml:space="preserve">UK</t>
  </si>
  <si>
    <t xml:space="preserve">Country 2</t>
  </si>
  <si>
    <t xml:space="preserve">Country 3</t>
  </si>
  <si>
    <t xml:space="preserve">Country 4</t>
  </si>
  <si>
    <t xml:space="preserve">Country 5</t>
  </si>
  <si>
    <t xml:space="preserve">Country 6</t>
  </si>
  <si>
    <t xml:space="preserve">Country 7</t>
  </si>
  <si>
    <t xml:space="preserve">Country 8</t>
  </si>
  <si>
    <t xml:space="preserve">Country 9</t>
  </si>
  <si>
    <t xml:space="preserve">Country 10</t>
  </si>
  <si>
    <t xml:space="preserve">Country 11</t>
  </si>
  <si>
    <t xml:space="preserve">Non-UK share</t>
  </si>
  <si>
    <t xml:space="preserve">Online revenue FY-1 (GBP)</t>
  </si>
  <si>
    <t xml:space="preserve">Revenue per visit (GBP)</t>
  </si>
  <si>
    <t xml:space="preserve">Help pages views (contact us + delivery FAQ)</t>
  </si>
  <si>
    <t xml:space="preserve">Womenswear page views</t>
  </si>
  <si>
    <t xml:space="preserve">Help vs womenswear</t>
  </si>
  <si>
    <t xml:space="preserve">Golf keyword visits</t>
  </si>
  <si>
    <t xml:space="preserve">Golf share of visits</t>
  </si>
  <si>
    <t xml:space="preserve">What we assumed and what to verify</t>
  </si>
  <si>
    <t xml:space="preserve">Say these out loud before anyone quotes a number.</t>
  </si>
  <si>
    <t xml:space="preserve">#</t>
  </si>
  <si>
    <t xml:space="preserve">Assumption or caveat</t>
  </si>
  <si>
    <t xml:space="preserve">How to resolve</t>
  </si>
  <si>
    <t xml:space="preserve">Owner (suggested)</t>
  </si>
  <si>
    <t xml:space="preserve">Currency is GBP for all figures, including Orlando</t>
  </si>
  <si>
    <t xml:space="preserve">Confirm with Ashley</t>
  </si>
  <si>
    <t xml:space="preserve">Ashley</t>
  </si>
  <si>
    <t xml:space="preserve">"Number of sales" means transactions</t>
  </si>
  <si>
    <t xml:space="preserve">Confirm definition with Jesse</t>
  </si>
  <si>
    <t xml:space="preserve">Jesse</t>
  </si>
  <si>
    <t xml:space="preserve">"UK Profit" in the sales sheet does not reconcile to the P&amp;L; Orlando "profit" looks like gross profit</t>
  </si>
  <si>
    <t xml:space="preserve">Ask Ashley which definition the sales sheet uses</t>
  </si>
  <si>
    <t xml:space="preserve">Page figures are views; keyword figures are visits</t>
  </si>
  <si>
    <t xml:space="preserve">Keep separate in every slide</t>
  </si>
  <si>
    <t xml:space="preserve">Team</t>
  </si>
  <si>
    <t xml:space="preserve">Referral-site visits are blank in the data</t>
  </si>
  <si>
    <t xml:space="preserve">Request the referral split</t>
  </si>
  <si>
    <t xml:space="preserve">Anshu</t>
  </si>
  <si>
    <t xml:space="preserve">Orlando 15.5% EBIT margin may reflect cost allocation</t>
  </si>
  <si>
    <t xml:space="preserve">Ask how shared costs are allocated</t>
  </si>
  <si>
    <t xml:space="preserve">No online conversion data supplied</t>
  </si>
  <si>
    <t xml:space="preserve">Request funnel and conversion by country</t>
  </si>
  <si>
    <t xml:space="preserve">10% EBIT gap and 9.6% CAGR are arithmetic, not forecasts</t>
  </si>
  <si>
    <t xml:space="preserve">Frame as scale of ambition</t>
  </si>
  <si>
    <t xml:space="preserve">Pitch slot and date: email says "later this week"</t>
  </si>
  <si>
    <t xml:space="preserve">Confirm slot length and date</t>
  </si>
  <si>
    <t xml:space="preserve">Data requests before the pitch</t>
  </si>
  <si>
    <t xml:space="preserve">Example row shows the expected format. Edit status in column F.</t>
  </si>
  <si>
    <t xml:space="preserve">Request</t>
  </si>
  <si>
    <t xml:space="preserve">Why it matters</t>
  </si>
  <si>
    <t xml:space="preserve">Ask</t>
  </si>
  <si>
    <t xml:space="preserve">Needed by</t>
  </si>
  <si>
    <t xml:space="preserve">Status</t>
  </si>
  <si>
    <t xml:space="preserve">Online conversion and funnel by country</t>
  </si>
  <si>
    <t xml:space="preserve">Tests whether friction, not demand, caps online</t>
  </si>
  <si>
    <t xml:space="preserve">Before pitch</t>
  </si>
  <si>
    <t xml:space="preserve">Open</t>
  </si>
  <si>
    <t xml:space="preserve">Store-level P&amp;L with allocation rules</t>
  </si>
  <si>
    <t xml:space="preserve">Tests Orlando and Edinburgh margins</t>
  </si>
  <si>
    <t xml:space="preserve">Definition of "profit" in the sales sheet</t>
  </si>
  <si>
    <t xml:space="preserve">Reconcile to the P&amp;L</t>
  </si>
  <si>
    <t xml:space="preserve">Day 1</t>
  </si>
  <si>
    <t xml:space="preserve">Basket mix by store (categories, brands)</t>
  </si>
  <si>
    <t xml:space="preserve">Explains falling value per sale</t>
  </si>
  <si>
    <t xml:space="preserve">Day 2</t>
  </si>
  <si>
    <t xml:space="preserve">Delivery and returns volumes and cost by route</t>
  </si>
  <si>
    <t xml:space="preserve">Sizes the logistics opportunity</t>
  </si>
  <si>
    <t xml:space="preserve">Stock-order cycle times by step</t>
  </si>
  <si>
    <t xml:space="preserve">Quantifies the four pain points</t>
  </si>
  <si>
    <t xml:space="preserve">Referral-site traffic and golf-related sales</t>
  </si>
  <si>
    <t xml:space="preserve">Sizes the golf niche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</si>
</sst>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"/>
    <numFmt numFmtId="166" formatCode="0.0%"/>
    <numFmt numFmtId="167" formatCode="0.0"/>
    <numFmt numFmtId="168" formatCode="#,##0;\(#,##0\);\-"/>
    <numFmt numFmtId="169" formatCode="#,##0"/>
    <numFmt numFmtId="170" formatCode="0"/>
    <numFmt numFmtId="171" formatCode="0%"/>
    <numFmt numFmtId="172" formatCode="0.00"/>
    <numFmt numFmtId="173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52B1E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52B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1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1" min="10" style="0" width="15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42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15" hidden="false" customHeight="false" outlineLevel="0" collapsed="false">
      <c r="A5" s="2" t="s">
        <v>14</v>
      </c>
      <c r="B5" s="5" t="n">
        <v>367.2</v>
      </c>
      <c r="C5" s="5" t="n">
        <v>389.2</v>
      </c>
      <c r="D5" s="5" t="n">
        <v>602.7</v>
      </c>
      <c r="E5" s="5" t="n">
        <v>563.8</v>
      </c>
      <c r="F5" s="6" t="n">
        <f aca="false">E5/D5-1</f>
        <v>-0.0645428903268626</v>
      </c>
      <c r="G5" s="5" t="n">
        <v>8.4</v>
      </c>
      <c r="H5" s="5" t="n">
        <v>9</v>
      </c>
      <c r="I5" s="6" t="n">
        <f aca="false">H5/G5-1</f>
        <v>0.0714285714285714</v>
      </c>
      <c r="J5" s="7" t="n">
        <f aca="false">D5*1000/(G5*1000)</f>
        <v>71.75</v>
      </c>
      <c r="K5" s="7" t="n">
        <f aca="false">E5/H5</f>
        <v>62.6444444444444</v>
      </c>
      <c r="L5" s="6" t="n">
        <f aca="false">K5/J5-1</f>
        <v>-0.126906697638405</v>
      </c>
    </row>
    <row r="6" customFormat="false" ht="15" hidden="false" customHeight="false" outlineLevel="0" collapsed="false">
      <c r="A6" s="2" t="s">
        <v>15</v>
      </c>
      <c r="B6" s="5" t="n">
        <v>305.1</v>
      </c>
      <c r="C6" s="5" t="n">
        <v>320.5</v>
      </c>
      <c r="D6" s="5" t="n">
        <v>433.8</v>
      </c>
      <c r="E6" s="5" t="n">
        <v>470.3</v>
      </c>
      <c r="F6" s="6" t="n">
        <f aca="false">E6/D6-1</f>
        <v>0.0841401567542646</v>
      </c>
      <c r="G6" s="5" t="n">
        <v>3.8</v>
      </c>
      <c r="H6" s="5" t="n">
        <v>4.1</v>
      </c>
      <c r="I6" s="6" t="n">
        <f aca="false">H6/G6-1</f>
        <v>0.0789473684210527</v>
      </c>
      <c r="J6" s="7" t="n">
        <f aca="false">D6*1000/(G6*1000)</f>
        <v>114.157894736842</v>
      </c>
      <c r="K6" s="7" t="n">
        <f aca="false">E6/H6</f>
        <v>114.707317073171</v>
      </c>
      <c r="L6" s="6" t="n">
        <f aca="false">K6/J6-1</f>
        <v>0.00481282821126983</v>
      </c>
    </row>
    <row r="7" customFormat="false" ht="15" hidden="false" customHeight="false" outlineLevel="0" collapsed="false">
      <c r="A7" s="2" t="s">
        <v>16</v>
      </c>
      <c r="B7" s="5" t="n">
        <v>92.4</v>
      </c>
      <c r="C7" s="5" t="n">
        <v>120.3</v>
      </c>
      <c r="D7" s="5" t="n">
        <v>134.2</v>
      </c>
      <c r="E7" s="5" t="n">
        <v>131.8</v>
      </c>
      <c r="F7" s="6" t="n">
        <f aca="false">E7/D7-1</f>
        <v>-0.0178837555886735</v>
      </c>
      <c r="G7" s="5" t="n">
        <v>2</v>
      </c>
      <c r="H7" s="5" t="n">
        <v>2.2</v>
      </c>
      <c r="I7" s="6" t="n">
        <f aca="false">H7/G7-1</f>
        <v>0.1</v>
      </c>
      <c r="J7" s="7" t="n">
        <f aca="false">D7*1000/(G7*1000)</f>
        <v>67.1</v>
      </c>
      <c r="K7" s="7" t="n">
        <f aca="false">E7/H7</f>
        <v>59.9090909090909</v>
      </c>
      <c r="L7" s="6" t="n">
        <f aca="false">K7/J7-1</f>
        <v>-0.107167050535158</v>
      </c>
    </row>
    <row r="8" customFormat="false" ht="15" hidden="false" customHeight="false" outlineLevel="0" collapsed="false">
      <c r="A8" s="2" t="s">
        <v>17</v>
      </c>
      <c r="B8" s="5"/>
      <c r="C8" s="5"/>
      <c r="D8" s="5" t="n">
        <v>100</v>
      </c>
      <c r="E8" s="5" t="n">
        <v>91</v>
      </c>
      <c r="F8" s="6" t="n">
        <f aca="false">E8/D8-1</f>
        <v>-0.09</v>
      </c>
      <c r="G8" s="5" t="n">
        <v>2.8</v>
      </c>
      <c r="H8" s="5" t="n">
        <v>3</v>
      </c>
      <c r="I8" s="6" t="n">
        <f aca="false">H8/G8-1</f>
        <v>0.0714285714285714</v>
      </c>
      <c r="J8" s="7" t="n">
        <f aca="false">D8*1000/(G8*1000)</f>
        <v>35.7142857142857</v>
      </c>
      <c r="K8" s="7" t="n">
        <f aca="false">E8/H8</f>
        <v>30.3333333333333</v>
      </c>
      <c r="L8" s="6" t="n">
        <f aca="false">K8/J8-1</f>
        <v>-0.150666666666667</v>
      </c>
    </row>
    <row r="9" customFormat="false" ht="15" hidden="false" customHeight="false" outlineLevel="0" collapsed="false">
      <c r="A9" s="8" t="s">
        <v>18</v>
      </c>
      <c r="B9" s="9"/>
      <c r="C9" s="9"/>
      <c r="D9" s="9" t="n">
        <f aca="false">SUM(D5:D8)</f>
        <v>1270.7</v>
      </c>
      <c r="E9" s="9" t="n">
        <f aca="false">SUM(E5:E8)</f>
        <v>1256.9</v>
      </c>
      <c r="F9" s="6" t="n">
        <f aca="false">E9/D9-1</f>
        <v>-0.010860155819627</v>
      </c>
      <c r="G9" s="9" t="n">
        <f aca="false">SUM(G5:G8)</f>
        <v>17</v>
      </c>
      <c r="H9" s="9" t="n">
        <f aca="false">SUM(H5:H8)</f>
        <v>18.3</v>
      </c>
      <c r="I9" s="6" t="n">
        <f aca="false">H9/G9-1</f>
        <v>0.0764705882352941</v>
      </c>
      <c r="J9" s="7" t="n">
        <f aca="false">D9/G9</f>
        <v>74.7470588235294</v>
      </c>
      <c r="K9" s="7" t="n">
        <f aca="false">E9/H9</f>
        <v>68.6830601092896</v>
      </c>
      <c r="L9" s="6" t="n">
        <f aca="false">K9/J9-1</f>
        <v>-0.0811269207067574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2" t="s">
        <v>19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2" t="s">
        <v>20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42" hidden="false" customHeight="tru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</row>
    <row r="5" customFormat="false" ht="15" hidden="false" customHeight="false" outlineLevel="0" collapsed="false">
      <c r="A5" s="2" t="s">
        <v>14</v>
      </c>
      <c r="B5" s="10" t="n">
        <v>563817683</v>
      </c>
      <c r="C5" s="10" t="n">
        <v>369931247</v>
      </c>
      <c r="D5" s="10" t="n">
        <v>193886436</v>
      </c>
      <c r="E5" s="10" t="n">
        <v>100820947</v>
      </c>
      <c r="F5" s="10" t="n">
        <v>49052138</v>
      </c>
      <c r="G5" s="10" t="n">
        <v>44013351</v>
      </c>
      <c r="H5" s="6" t="n">
        <f aca="false">D5/B5</f>
        <v>0.343881438709683</v>
      </c>
      <c r="I5" s="6" t="n">
        <f aca="false">E5/B5</f>
        <v>0.17881834862565</v>
      </c>
      <c r="J5" s="6" t="n">
        <f aca="false">F5/B5</f>
        <v>0.0869999992533047</v>
      </c>
      <c r="K5" s="6" t="n">
        <f aca="false">G5/B5</f>
        <v>0.0780630908307287</v>
      </c>
      <c r="L5" s="11" t="n">
        <f aca="false">D5-E5-F5-G5</f>
        <v>0</v>
      </c>
    </row>
    <row r="6" customFormat="false" ht="15" hidden="false" customHeight="false" outlineLevel="0" collapsed="false">
      <c r="A6" s="2" t="s">
        <v>15</v>
      </c>
      <c r="B6" s="10" t="n">
        <v>470263012</v>
      </c>
      <c r="C6" s="10" t="n">
        <v>309638374</v>
      </c>
      <c r="D6" s="10" t="n">
        <v>160624638</v>
      </c>
      <c r="E6" s="10" t="n">
        <v>80312319</v>
      </c>
      <c r="F6" s="10" t="n">
        <v>41853408</v>
      </c>
      <c r="G6" s="10" t="n">
        <v>38458911</v>
      </c>
      <c r="H6" s="6" t="n">
        <f aca="false">D6/B6</f>
        <v>0.341563410051905</v>
      </c>
      <c r="I6" s="6" t="n">
        <f aca="false">E6/B6</f>
        <v>0.170781705025953</v>
      </c>
      <c r="J6" s="6" t="n">
        <f aca="false">F6/B6</f>
        <v>0.0889999998554001</v>
      </c>
      <c r="K6" s="6" t="n">
        <f aca="false">G6/B6</f>
        <v>0.0817817051705525</v>
      </c>
      <c r="L6" s="11" t="n">
        <f aca="false">D6-E6-F6-G6</f>
        <v>0</v>
      </c>
    </row>
    <row r="7" customFormat="false" ht="15" hidden="false" customHeight="false" outlineLevel="0" collapsed="false">
      <c r="A7" s="2" t="s">
        <v>16</v>
      </c>
      <c r="B7" s="10" t="n">
        <v>131771465</v>
      </c>
      <c r="C7" s="10" t="n">
        <v>88023884</v>
      </c>
      <c r="D7" s="10" t="n">
        <v>43747581</v>
      </c>
      <c r="E7" s="10" t="n">
        <v>27123500</v>
      </c>
      <c r="F7" s="10" t="n">
        <v>12122975</v>
      </c>
      <c r="G7" s="10" t="n">
        <v>4501106</v>
      </c>
      <c r="H7" s="6" t="n">
        <f aca="false">D7/B7</f>
        <v>0.331995861167666</v>
      </c>
      <c r="I7" s="6" t="n">
        <f aca="false">E7/B7</f>
        <v>0.205837432254396</v>
      </c>
      <c r="J7" s="6" t="n">
        <f aca="false">F7/B7</f>
        <v>0.0920000016695572</v>
      </c>
      <c r="K7" s="6" t="n">
        <f aca="false">G7/B7</f>
        <v>0.0341584272437132</v>
      </c>
      <c r="L7" s="11" t="n">
        <f aca="false">D7-E7-F7-G7</f>
        <v>0</v>
      </c>
    </row>
    <row r="8" customFormat="false" ht="15" hidden="false" customHeight="false" outlineLevel="0" collapsed="false">
      <c r="A8" s="2" t="s">
        <v>17</v>
      </c>
      <c r="B8" s="10" t="n">
        <v>90988681</v>
      </c>
      <c r="C8" s="10" t="n">
        <v>60074715</v>
      </c>
      <c r="D8" s="10" t="n">
        <v>30913965</v>
      </c>
      <c r="E8" s="10" t="n">
        <v>12056446</v>
      </c>
      <c r="F8" s="10" t="n">
        <v>4731411</v>
      </c>
      <c r="G8" s="10" t="n">
        <v>14126107</v>
      </c>
      <c r="H8" s="6" t="n">
        <f aca="false">D8/B8</f>
        <v>0.339756161538379</v>
      </c>
      <c r="I8" s="6" t="n">
        <f aca="false">E8/B8</f>
        <v>0.132504899153335</v>
      </c>
      <c r="J8" s="6" t="n">
        <f aca="false">F8/B8</f>
        <v>0.0519999954719643</v>
      </c>
      <c r="K8" s="6" t="n">
        <f aca="false">G8/B8</f>
        <v>0.155251255922701</v>
      </c>
      <c r="L8" s="11" t="n">
        <f aca="false">D8-E8-F8-G8</f>
        <v>1</v>
      </c>
    </row>
    <row r="9" customFormat="false" ht="15" hidden="false" customHeight="false" outlineLevel="0" collapsed="false">
      <c r="A9" s="2" t="s">
        <v>35</v>
      </c>
      <c r="B9" s="10" t="n">
        <v>5654213</v>
      </c>
      <c r="C9" s="10" t="n">
        <v>3844865</v>
      </c>
      <c r="D9" s="10" t="n">
        <v>1809348</v>
      </c>
      <c r="E9" s="10" t="n">
        <v>948211</v>
      </c>
      <c r="F9" s="10" t="n">
        <v>510575</v>
      </c>
      <c r="G9" s="10" t="n">
        <v>350561</v>
      </c>
      <c r="H9" s="6" t="n">
        <f aca="false">D9/B9</f>
        <v>0.319999971702516</v>
      </c>
      <c r="I9" s="6" t="n">
        <f aca="false">E9/B9</f>
        <v>0.167699908015492</v>
      </c>
      <c r="J9" s="6" t="n">
        <f aca="false">F9/B9</f>
        <v>0.0902999232607615</v>
      </c>
      <c r="K9" s="6" t="n">
        <f aca="false">G9/B9</f>
        <v>0.0619999635669898</v>
      </c>
      <c r="L9" s="11" t="n">
        <f aca="false">D9-E9-F9-G9</f>
        <v>1</v>
      </c>
    </row>
    <row r="10" customFormat="false" ht="15" hidden="false" customHeight="false" outlineLevel="0" collapsed="false">
      <c r="A10" s="8" t="s">
        <v>36</v>
      </c>
      <c r="B10" s="11" t="n">
        <f aca="false">SUM(B5:B9)</f>
        <v>1262495054</v>
      </c>
      <c r="C10" s="11" t="n">
        <f aca="false">SUM(C5:C9)</f>
        <v>831513085</v>
      </c>
      <c r="D10" s="11" t="n">
        <f aca="false">SUM(D5:D9)</f>
        <v>430981968</v>
      </c>
      <c r="E10" s="11" t="n">
        <f aca="false">SUM(E5:E9)</f>
        <v>221261423</v>
      </c>
      <c r="F10" s="11" t="n">
        <f aca="false">SUM(F5:F9)</f>
        <v>108270507</v>
      </c>
      <c r="G10" s="11" t="n">
        <f aca="false">SUM(G5:G9)</f>
        <v>101450036</v>
      </c>
      <c r="H10" s="6" t="n">
        <f aca="false">D10/B10</f>
        <v>0.341373193213318</v>
      </c>
      <c r="I10" s="6" t="n">
        <f aca="false">E10/B10</f>
        <v>0.175257259265271</v>
      </c>
      <c r="J10" s="6" t="n">
        <f aca="false">F10/B10</f>
        <v>0.0857591533978398</v>
      </c>
      <c r="K10" s="6" t="n">
        <f aca="false">G10/B10</f>
        <v>0.0803567789660426</v>
      </c>
      <c r="L10" s="11" t="n">
        <f aca="false">D10-E10-F10-G10</f>
        <v>2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2" t="s">
        <v>37</v>
      </c>
      <c r="B12" s="10" t="n">
        <v>1262495054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A13" s="2" t="s">
        <v>38</v>
      </c>
      <c r="B13" s="11" t="n">
        <f aca="false">B10-B12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2" t="s">
        <v>39</v>
      </c>
      <c r="B14" s="10" t="n">
        <v>101450036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 t="s">
        <v>38</v>
      </c>
      <c r="B15" s="11" t="n">
        <f aca="false">G10-B14</f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2" t="s">
        <v>40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41</v>
      </c>
      <c r="B1" s="2"/>
      <c r="C1" s="2"/>
    </row>
    <row r="2" customFormat="false" ht="15" hidden="false" customHeight="false" outlineLevel="0" collapsed="false">
      <c r="A2" s="3" t="s">
        <v>42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2" t="s">
        <v>43</v>
      </c>
      <c r="B4" s="9" t="n">
        <f aca="false">'PnL FY-1'!B10/1000000</f>
        <v>1262.495054</v>
      </c>
      <c r="C4" s="2"/>
    </row>
    <row r="5" customFormat="false" ht="15" hidden="false" customHeight="false" outlineLevel="0" collapsed="false">
      <c r="A5" s="2" t="s">
        <v>44</v>
      </c>
      <c r="B5" s="9" t="n">
        <f aca="false">'PnL FY-1'!G10/1000000</f>
        <v>101.450036</v>
      </c>
      <c r="C5" s="2"/>
    </row>
    <row r="6" customFormat="false" ht="15" hidden="false" customHeight="false" outlineLevel="0" collapsed="false">
      <c r="A6" s="2" t="s">
        <v>45</v>
      </c>
      <c r="B6" s="6" t="n">
        <f aca="false">B5/B4</f>
        <v>0.0803567789660426</v>
      </c>
      <c r="C6" s="2"/>
    </row>
    <row r="7" customFormat="false" ht="15" hidden="false" customHeight="false" outlineLevel="0" collapsed="false">
      <c r="A7" s="2" t="s">
        <v>46</v>
      </c>
      <c r="B7" s="12" t="n">
        <v>0.1</v>
      </c>
      <c r="C7" s="2"/>
    </row>
    <row r="8" customFormat="false" ht="15" hidden="false" customHeight="false" outlineLevel="0" collapsed="false">
      <c r="A8" s="2" t="s">
        <v>47</v>
      </c>
      <c r="B8" s="9" t="n">
        <f aca="false">B4*B7</f>
        <v>126.2495054</v>
      </c>
      <c r="C8" s="2"/>
    </row>
    <row r="9" customFormat="false" ht="15" hidden="false" customHeight="false" outlineLevel="0" collapsed="false">
      <c r="A9" s="2" t="s">
        <v>48</v>
      </c>
      <c r="B9" s="9" t="n">
        <f aca="false">B8-B5</f>
        <v>24.7994694</v>
      </c>
      <c r="C9" s="2"/>
    </row>
    <row r="10" customFormat="false" ht="15" hidden="false" customHeight="false" outlineLevel="0" collapsed="false">
      <c r="A10" s="2" t="s">
        <v>49</v>
      </c>
      <c r="B10" s="9" t="n">
        <f aca="false">B4*0.01</f>
        <v>12.62495054</v>
      </c>
      <c r="C10" s="2"/>
    </row>
    <row r="11" customFormat="false" ht="15" hidden="false" customHeight="false" outlineLevel="0" collapsed="false">
      <c r="A11" s="2" t="s">
        <v>50</v>
      </c>
      <c r="B11" s="13" t="n">
        <v>2000</v>
      </c>
      <c r="C11" s="2"/>
    </row>
    <row r="12" customFormat="false" ht="15" hidden="false" customHeight="false" outlineLevel="0" collapsed="false">
      <c r="A12" s="2" t="s">
        <v>51</v>
      </c>
      <c r="B12" s="14" t="n">
        <v>5</v>
      </c>
      <c r="C12" s="3" t="s">
        <v>52</v>
      </c>
    </row>
    <row r="13" customFormat="false" ht="15" hidden="false" customHeight="false" outlineLevel="0" collapsed="false">
      <c r="A13" s="2" t="s">
        <v>53</v>
      </c>
      <c r="B13" s="15" t="n">
        <f aca="false">B11/B4-1</f>
        <v>0.584164622002551</v>
      </c>
      <c r="C13" s="2"/>
    </row>
    <row r="14" customFormat="false" ht="15" hidden="false" customHeight="false" outlineLevel="0" collapsed="false">
      <c r="A14" s="2" t="s">
        <v>54</v>
      </c>
      <c r="B14" s="6" t="n">
        <f aca="false">(B11/B4)^(1/B12)-1</f>
        <v>0.0963773680797955</v>
      </c>
      <c r="C14" s="2"/>
    </row>
    <row r="15" customFormat="false" ht="15" hidden="false" customHeight="false" outlineLevel="0" collapsed="false">
      <c r="A15" s="2" t="s">
        <v>55</v>
      </c>
      <c r="B15" s="6" t="n">
        <f aca="false">'PnL FY-1'!I7</f>
        <v>0.205837432254396</v>
      </c>
      <c r="C15" s="2"/>
    </row>
    <row r="16" customFormat="false" ht="15" hidden="false" customHeight="false" outlineLevel="0" collapsed="false">
      <c r="A16" s="2" t="s">
        <v>56</v>
      </c>
      <c r="B16" s="6" t="n">
        <f aca="false">'PnL FY-1'!I10</f>
        <v>0.175257259265271</v>
      </c>
      <c r="C16" s="2"/>
    </row>
    <row r="17" customFormat="false" ht="15" hidden="false" customHeight="false" outlineLevel="0" collapsed="false">
      <c r="A17" s="2" t="s">
        <v>57</v>
      </c>
      <c r="B17" s="9" t="n">
        <f aca="false">('PnL FY-1'!E7-'PnL FY-1'!B7*B16)/1000000</f>
        <v>4.02959419473045</v>
      </c>
      <c r="C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58</v>
      </c>
      <c r="B1" s="2"/>
      <c r="C1" s="2"/>
    </row>
    <row r="2" customFormat="false" ht="15" hidden="false" customHeight="false" outlineLevel="0" collapsed="false">
      <c r="A2" s="3" t="s">
        <v>59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60</v>
      </c>
      <c r="B4" s="4" t="s">
        <v>61</v>
      </c>
      <c r="C4" s="4" t="s">
        <v>62</v>
      </c>
    </row>
    <row r="5" customFormat="false" ht="15" hidden="false" customHeight="false" outlineLevel="0" collapsed="false">
      <c r="A5" s="2" t="s">
        <v>63</v>
      </c>
      <c r="B5" s="13" t="n">
        <v>455796</v>
      </c>
      <c r="C5" s="6" t="n">
        <f aca="false">B5/$B$9</f>
        <v>0.464082187457046</v>
      </c>
    </row>
    <row r="6" customFormat="false" ht="15" hidden="false" customHeight="false" outlineLevel="0" collapsed="false">
      <c r="A6" s="2" t="s">
        <v>64</v>
      </c>
      <c r="B6" s="13" t="n">
        <v>214688</v>
      </c>
      <c r="C6" s="6" t="n">
        <f aca="false">B6/$B$9</f>
        <v>0.218590941256128</v>
      </c>
    </row>
    <row r="7" customFormat="false" ht="15" hidden="false" customHeight="false" outlineLevel="0" collapsed="false">
      <c r="A7" s="2" t="s">
        <v>65</v>
      </c>
      <c r="B7" s="13" t="n">
        <v>169087</v>
      </c>
      <c r="C7" s="6" t="n">
        <f aca="false">B7/$B$9</f>
        <v>0.172160933467054</v>
      </c>
    </row>
    <row r="8" customFormat="false" ht="15" hidden="false" customHeight="false" outlineLevel="0" collapsed="false">
      <c r="A8" s="2" t="s">
        <v>66</v>
      </c>
      <c r="B8" s="13" t="n">
        <v>142574</v>
      </c>
      <c r="C8" s="6" t="n">
        <f aca="false">B8/$B$9</f>
        <v>0.145165937819772</v>
      </c>
    </row>
    <row r="9" customFormat="false" ht="15" hidden="false" customHeight="false" outlineLevel="0" collapsed="false">
      <c r="A9" s="2" t="s">
        <v>67</v>
      </c>
      <c r="B9" s="16" t="n">
        <f aca="false">SUM(B5:B8)</f>
        <v>982145</v>
      </c>
      <c r="C9" s="6" t="n">
        <f aca="false">B9/B9</f>
        <v>1</v>
      </c>
    </row>
    <row r="10" customFormat="false" ht="15" hidden="false" customHeight="false" outlineLevel="0" collapsed="false">
      <c r="A10" s="3" t="s">
        <v>68</v>
      </c>
      <c r="B10" s="2"/>
      <c r="C10" s="2"/>
    </row>
    <row r="11" customFormat="false" ht="15" hidden="false" customHeight="false" outlineLevel="0" collapsed="false">
      <c r="A11" s="2"/>
      <c r="B11" s="2"/>
      <c r="C11" s="2"/>
    </row>
    <row r="12" customFormat="false" ht="15" hidden="false" customHeight="false" outlineLevel="0" collapsed="false">
      <c r="A12" s="4" t="s">
        <v>69</v>
      </c>
      <c r="B12" s="4" t="s">
        <v>61</v>
      </c>
      <c r="C12" s="4" t="s">
        <v>62</v>
      </c>
    </row>
    <row r="13" customFormat="false" ht="15" hidden="false" customHeight="false" outlineLevel="0" collapsed="false">
      <c r="A13" s="2" t="s">
        <v>70</v>
      </c>
      <c r="B13" s="13" t="n">
        <v>412501</v>
      </c>
      <c r="C13" s="6" t="n">
        <f aca="false">B13/$B$24</f>
        <v>0.42000010181796</v>
      </c>
    </row>
    <row r="14" customFormat="false" ht="15" hidden="false" customHeight="false" outlineLevel="0" collapsed="false">
      <c r="A14" s="2" t="s">
        <v>71</v>
      </c>
      <c r="B14" s="13" t="n">
        <v>284822</v>
      </c>
      <c r="C14" s="6" t="n">
        <f aca="false">B14/$B$24</f>
        <v>0.28999994909102</v>
      </c>
    </row>
    <row r="15" customFormat="false" ht="15" hidden="false" customHeight="false" outlineLevel="0" collapsed="false">
      <c r="A15" s="2" t="s">
        <v>72</v>
      </c>
      <c r="B15" s="13" t="n">
        <v>127679</v>
      </c>
      <c r="C15" s="6" t="n">
        <f aca="false">B15/$B$24</f>
        <v>0.13000015272694</v>
      </c>
    </row>
    <row r="16" customFormat="false" ht="15" hidden="false" customHeight="false" outlineLevel="0" collapsed="false">
      <c r="A16" s="2" t="s">
        <v>73</v>
      </c>
      <c r="B16" s="13" t="n">
        <v>58929</v>
      </c>
      <c r="C16" s="6" t="n">
        <f aca="false">B16/$B$24</f>
        <v>0.060000305453879</v>
      </c>
    </row>
    <row r="17" customFormat="false" ht="15" hidden="false" customHeight="false" outlineLevel="0" collapsed="false">
      <c r="A17" s="2" t="s">
        <v>74</v>
      </c>
      <c r="B17" s="13" t="n">
        <v>39286</v>
      </c>
      <c r="C17" s="6" t="n">
        <f aca="false">B17/$B$24</f>
        <v>0.0400002036359193</v>
      </c>
    </row>
    <row r="18" customFormat="false" ht="15" hidden="false" customHeight="false" outlineLevel="0" collapsed="false">
      <c r="A18" s="2" t="s">
        <v>75</v>
      </c>
      <c r="B18" s="13" t="n">
        <v>35357</v>
      </c>
      <c r="C18" s="6" t="n">
        <f aca="false">B18/$B$24</f>
        <v>0.0359997760004887</v>
      </c>
    </row>
    <row r="19" customFormat="false" ht="15" hidden="false" customHeight="false" outlineLevel="0" collapsed="false">
      <c r="A19" s="2" t="s">
        <v>76</v>
      </c>
      <c r="B19" s="13" t="n">
        <v>19643</v>
      </c>
      <c r="C19" s="6" t="n">
        <f aca="false">B19/$B$24</f>
        <v>0.0200001018179597</v>
      </c>
    </row>
    <row r="20" customFormat="false" ht="15" hidden="false" customHeight="false" outlineLevel="0" collapsed="false">
      <c r="A20" s="2" t="s">
        <v>77</v>
      </c>
      <c r="B20" s="13" t="n">
        <v>2946</v>
      </c>
      <c r="C20" s="6" t="n">
        <f aca="false">B20/$B$24</f>
        <v>0.00299955709187544</v>
      </c>
    </row>
    <row r="21" customFormat="false" ht="15" hidden="false" customHeight="false" outlineLevel="0" collapsed="false">
      <c r="A21" s="2" t="s">
        <v>78</v>
      </c>
      <c r="B21" s="13" t="n">
        <v>491</v>
      </c>
      <c r="C21" s="6" t="n">
        <f aca="false">B21/$B$24</f>
        <v>0.000499926181979239</v>
      </c>
    </row>
    <row r="22" customFormat="false" ht="15" hidden="false" customHeight="false" outlineLevel="0" collapsed="false">
      <c r="A22" s="2" t="s">
        <v>79</v>
      </c>
      <c r="B22" s="13" t="n">
        <v>295</v>
      </c>
      <c r="C22" s="6" t="n">
        <f aca="false">B22/$B$24</f>
        <v>0.000300362981026223</v>
      </c>
    </row>
    <row r="23" customFormat="false" ht="15" hidden="false" customHeight="false" outlineLevel="0" collapsed="false">
      <c r="A23" s="2" t="s">
        <v>80</v>
      </c>
      <c r="B23" s="13" t="n">
        <v>196</v>
      </c>
      <c r="C23" s="6" t="n">
        <f aca="false">B23/$B$24</f>
        <v>0.000199563200953016</v>
      </c>
    </row>
    <row r="24" customFormat="false" ht="15" hidden="false" customHeight="false" outlineLevel="0" collapsed="false">
      <c r="A24" s="2" t="s">
        <v>67</v>
      </c>
      <c r="B24" s="16" t="n">
        <f aca="false">SUM(B13:B23)</f>
        <v>982145</v>
      </c>
      <c r="C24" s="6" t="n">
        <f aca="false">B24/B24</f>
        <v>1</v>
      </c>
    </row>
    <row r="25" customFormat="false" ht="15" hidden="false" customHeight="false" outlineLevel="0" collapsed="false">
      <c r="A25" s="2" t="s">
        <v>81</v>
      </c>
      <c r="B25" s="2"/>
      <c r="C25" s="6" t="n">
        <f aca="false">1-B13/B24</f>
        <v>0.57999989818204</v>
      </c>
    </row>
    <row r="26" customFormat="false" ht="15" hidden="false" customHeight="false" outlineLevel="0" collapsed="false">
      <c r="A26" s="2"/>
      <c r="B26" s="2"/>
      <c r="C26" s="2"/>
    </row>
    <row r="27" customFormat="false" ht="15" hidden="false" customHeight="false" outlineLevel="0" collapsed="false">
      <c r="A27" s="2" t="s">
        <v>82</v>
      </c>
      <c r="B27" s="16" t="n">
        <f aca="false">'PnL FY-1'!B9</f>
        <v>5654213</v>
      </c>
      <c r="C27" s="2"/>
    </row>
    <row r="28" customFormat="false" ht="15" hidden="false" customHeight="false" outlineLevel="0" collapsed="false">
      <c r="A28" s="2" t="s">
        <v>83</v>
      </c>
      <c r="B28" s="17" t="n">
        <f aca="false">B27/B24</f>
        <v>5.75700431199059</v>
      </c>
      <c r="C28" s="2"/>
    </row>
    <row r="29" customFormat="false" ht="15" hidden="false" customHeight="false" outlineLevel="0" collapsed="false">
      <c r="A29" s="2" t="s">
        <v>84</v>
      </c>
      <c r="B29" s="16" t="n">
        <f aca="false">142411+137500</f>
        <v>279911</v>
      </c>
      <c r="C29" s="2"/>
    </row>
    <row r="30" customFormat="false" ht="15" hidden="false" customHeight="false" outlineLevel="0" collapsed="false">
      <c r="A30" s="2" t="s">
        <v>85</v>
      </c>
      <c r="B30" s="13" t="n">
        <v>147322</v>
      </c>
      <c r="C30" s="2"/>
    </row>
    <row r="31" customFormat="false" ht="15" hidden="false" customHeight="false" outlineLevel="0" collapsed="false">
      <c r="A31" s="2" t="s">
        <v>86</v>
      </c>
      <c r="B31" s="18" t="n">
        <f aca="false">B29/B30</f>
        <v>1.89999456971803</v>
      </c>
      <c r="C31" s="2"/>
    </row>
    <row r="32" customFormat="false" ht="15" hidden="false" customHeight="false" outlineLevel="0" collapsed="false">
      <c r="A32" s="2" t="s">
        <v>87</v>
      </c>
      <c r="B32" s="13" t="n">
        <v>105384</v>
      </c>
      <c r="C32" s="2"/>
    </row>
    <row r="33" customFormat="false" ht="15" hidden="false" customHeight="false" outlineLevel="0" collapsed="false">
      <c r="A33" s="2" t="s">
        <v>88</v>
      </c>
      <c r="B33" s="6" t="n">
        <f aca="false">B32/B24</f>
        <v>0.107299838618534</v>
      </c>
      <c r="C3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45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89</v>
      </c>
      <c r="B1" s="2"/>
      <c r="C1" s="2"/>
      <c r="D1" s="2"/>
    </row>
    <row r="2" customFormat="false" ht="15" hidden="false" customHeight="false" outlineLevel="0" collapsed="false">
      <c r="A2" s="3" t="s">
        <v>90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91</v>
      </c>
      <c r="B4" s="4" t="s">
        <v>92</v>
      </c>
      <c r="C4" s="4" t="s">
        <v>93</v>
      </c>
      <c r="D4" s="4" t="s">
        <v>94</v>
      </c>
    </row>
    <row r="5" customFormat="false" ht="15" hidden="false" customHeight="false" outlineLevel="0" collapsed="false">
      <c r="A5" s="19" t="n">
        <v>1</v>
      </c>
      <c r="B5" s="19" t="s">
        <v>95</v>
      </c>
      <c r="C5" s="19" t="s">
        <v>96</v>
      </c>
      <c r="D5" s="19" t="s">
        <v>97</v>
      </c>
    </row>
    <row r="6" customFormat="false" ht="15" hidden="false" customHeight="false" outlineLevel="0" collapsed="false">
      <c r="A6" s="19" t="n">
        <v>2</v>
      </c>
      <c r="B6" s="19" t="s">
        <v>98</v>
      </c>
      <c r="C6" s="19" t="s">
        <v>99</v>
      </c>
      <c r="D6" s="19" t="s">
        <v>100</v>
      </c>
    </row>
    <row r="7" customFormat="false" ht="23.85" hidden="false" customHeight="false" outlineLevel="0" collapsed="false">
      <c r="A7" s="19" t="n">
        <v>3</v>
      </c>
      <c r="B7" s="19" t="s">
        <v>101</v>
      </c>
      <c r="C7" s="19" t="s">
        <v>102</v>
      </c>
      <c r="D7" s="19" t="s">
        <v>97</v>
      </c>
    </row>
    <row r="8" customFormat="false" ht="15" hidden="false" customHeight="false" outlineLevel="0" collapsed="false">
      <c r="A8" s="19" t="n">
        <v>4</v>
      </c>
      <c r="B8" s="19" t="s">
        <v>103</v>
      </c>
      <c r="C8" s="19" t="s">
        <v>104</v>
      </c>
      <c r="D8" s="19" t="s">
        <v>105</v>
      </c>
    </row>
    <row r="9" customFormat="false" ht="15" hidden="false" customHeight="false" outlineLevel="0" collapsed="false">
      <c r="A9" s="19" t="n">
        <v>5</v>
      </c>
      <c r="B9" s="19" t="s">
        <v>106</v>
      </c>
      <c r="C9" s="19" t="s">
        <v>107</v>
      </c>
      <c r="D9" s="19" t="s">
        <v>108</v>
      </c>
    </row>
    <row r="10" customFormat="false" ht="15" hidden="false" customHeight="false" outlineLevel="0" collapsed="false">
      <c r="A10" s="19" t="n">
        <v>6</v>
      </c>
      <c r="B10" s="19" t="s">
        <v>109</v>
      </c>
      <c r="C10" s="19" t="s">
        <v>110</v>
      </c>
      <c r="D10" s="19" t="s">
        <v>97</v>
      </c>
    </row>
    <row r="11" customFormat="false" ht="15" hidden="false" customHeight="false" outlineLevel="0" collapsed="false">
      <c r="A11" s="19" t="n">
        <v>7</v>
      </c>
      <c r="B11" s="19" t="s">
        <v>111</v>
      </c>
      <c r="C11" s="19" t="s">
        <v>112</v>
      </c>
      <c r="D11" s="19" t="s">
        <v>108</v>
      </c>
    </row>
    <row r="12" customFormat="false" ht="15" hidden="false" customHeight="false" outlineLevel="0" collapsed="false">
      <c r="A12" s="19" t="n">
        <v>8</v>
      </c>
      <c r="B12" s="19" t="s">
        <v>113</v>
      </c>
      <c r="C12" s="19" t="s">
        <v>114</v>
      </c>
      <c r="D12" s="19" t="s">
        <v>105</v>
      </c>
    </row>
    <row r="13" customFormat="false" ht="15" hidden="false" customHeight="false" outlineLevel="0" collapsed="false">
      <c r="A13" s="19" t="n">
        <v>9</v>
      </c>
      <c r="B13" s="19" t="s">
        <v>115</v>
      </c>
      <c r="C13" s="19" t="s">
        <v>116</v>
      </c>
      <c r="D13" s="19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4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117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118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91</v>
      </c>
      <c r="B4" s="4" t="s">
        <v>119</v>
      </c>
      <c r="C4" s="4" t="s">
        <v>120</v>
      </c>
      <c r="D4" s="4" t="s">
        <v>121</v>
      </c>
      <c r="E4" s="4" t="s">
        <v>122</v>
      </c>
      <c r="F4" s="4" t="s">
        <v>123</v>
      </c>
    </row>
    <row r="5" customFormat="false" ht="15" hidden="false" customHeight="false" outlineLevel="0" collapsed="false">
      <c r="A5" s="19" t="n">
        <v>1</v>
      </c>
      <c r="B5" s="19" t="s">
        <v>124</v>
      </c>
      <c r="C5" s="19" t="s">
        <v>125</v>
      </c>
      <c r="D5" s="19" t="s">
        <v>108</v>
      </c>
      <c r="E5" s="19" t="s">
        <v>126</v>
      </c>
      <c r="F5" s="19" t="s">
        <v>127</v>
      </c>
    </row>
    <row r="6" customFormat="false" ht="15" hidden="false" customHeight="false" outlineLevel="0" collapsed="false">
      <c r="A6" s="19" t="n">
        <v>2</v>
      </c>
      <c r="B6" s="19" t="s">
        <v>128</v>
      </c>
      <c r="C6" s="19" t="s">
        <v>129</v>
      </c>
      <c r="D6" s="19" t="s">
        <v>97</v>
      </c>
      <c r="E6" s="19" t="s">
        <v>126</v>
      </c>
      <c r="F6" s="19" t="s">
        <v>127</v>
      </c>
    </row>
    <row r="7" customFormat="false" ht="15" hidden="false" customHeight="false" outlineLevel="0" collapsed="false">
      <c r="A7" s="19" t="n">
        <v>3</v>
      </c>
      <c r="B7" s="19" t="s">
        <v>130</v>
      </c>
      <c r="C7" s="19" t="s">
        <v>131</v>
      </c>
      <c r="D7" s="19" t="s">
        <v>97</v>
      </c>
      <c r="E7" s="19" t="s">
        <v>132</v>
      </c>
      <c r="F7" s="19" t="s">
        <v>127</v>
      </c>
    </row>
    <row r="8" customFormat="false" ht="15" hidden="false" customHeight="false" outlineLevel="0" collapsed="false">
      <c r="A8" s="19" t="n">
        <v>4</v>
      </c>
      <c r="B8" s="19" t="s">
        <v>133</v>
      </c>
      <c r="C8" s="19" t="s">
        <v>134</v>
      </c>
      <c r="D8" s="19" t="s">
        <v>100</v>
      </c>
      <c r="E8" s="19" t="s">
        <v>135</v>
      </c>
      <c r="F8" s="19" t="s">
        <v>127</v>
      </c>
    </row>
    <row r="9" customFormat="false" ht="15" hidden="false" customHeight="false" outlineLevel="0" collapsed="false">
      <c r="A9" s="19" t="n">
        <v>5</v>
      </c>
      <c r="B9" s="19" t="s">
        <v>136</v>
      </c>
      <c r="C9" s="19" t="s">
        <v>137</v>
      </c>
      <c r="D9" s="19" t="s">
        <v>97</v>
      </c>
      <c r="E9" s="19" t="s">
        <v>135</v>
      </c>
      <c r="F9" s="19" t="s">
        <v>127</v>
      </c>
    </row>
    <row r="10" customFormat="false" ht="15" hidden="false" customHeight="false" outlineLevel="0" collapsed="false">
      <c r="A10" s="19" t="n">
        <v>6</v>
      </c>
      <c r="B10" s="19" t="s">
        <v>138</v>
      </c>
      <c r="C10" s="19" t="s">
        <v>139</v>
      </c>
      <c r="D10" s="19" t="s">
        <v>100</v>
      </c>
      <c r="E10" s="19" t="s">
        <v>135</v>
      </c>
      <c r="F10" s="19" t="s">
        <v>127</v>
      </c>
    </row>
    <row r="11" customFormat="false" ht="15" hidden="false" customHeight="false" outlineLevel="0" collapsed="false">
      <c r="A11" s="19" t="n">
        <v>7</v>
      </c>
      <c r="B11" s="19" t="s">
        <v>140</v>
      </c>
      <c r="C11" s="19" t="s">
        <v>141</v>
      </c>
      <c r="D11" s="19" t="s">
        <v>108</v>
      </c>
      <c r="E11" s="19" t="s">
        <v>135</v>
      </c>
      <c r="F11" s="19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2026-10-22T03:50:27Z</dcterms:created>
  <dc:creator>openpyxl</dc:creator>
  <dc:description/>
  <dc:language>en-US</dc:language>
  <cp:lastModifiedBy/>
  <dcterms:modified xsi:type="dcterms:W3CDTF">2026-10-22T03:50:27Z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